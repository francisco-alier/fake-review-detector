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m20170970_novaims_unl_pt/Documents/A guardar/Python/Projects/fake-review-detector/docs/"/>
    </mc:Choice>
  </mc:AlternateContent>
  <xr:revisionPtr revIDLastSave="41" documentId="8_{CBA6F22E-B940-4875-B53B-6F15C326FBE7}" xr6:coauthVersionLast="47" xr6:coauthVersionMax="47" xr10:uidLastSave="{77FC9972-C844-4318-9F98-60A3D438CBED}"/>
  <bookViews>
    <workbookView minimized="1" xWindow="3732" yWindow="3708" windowWidth="17280" windowHeight="8880" xr2:uid="{CF62648D-F0D0-41F5-A183-5E69F31C8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7" i="1"/>
  <c r="H7" i="1" s="1"/>
  <c r="F8" i="1"/>
  <c r="H8" i="1" s="1"/>
  <c r="F5" i="1"/>
  <c r="H5" i="1" s="1"/>
  <c r="J9" i="1"/>
  <c r="G5" i="1" l="1"/>
  <c r="G8" i="1"/>
  <c r="G7" i="1"/>
  <c r="G6" i="1"/>
  <c r="F9" i="1"/>
  <c r="H9" i="1"/>
  <c r="G9" i="1" l="1"/>
  <c r="I9" i="1" s="1"/>
  <c r="J10" i="1" s="1"/>
</calcChain>
</file>

<file path=xl/sharedStrings.xml><?xml version="1.0" encoding="utf-8"?>
<sst xmlns="http://schemas.openxmlformats.org/spreadsheetml/2006/main" count="18" uniqueCount="18">
  <si>
    <t>Formula for Fake Reviews</t>
  </si>
  <si>
    <t>Review</t>
  </si>
  <si>
    <t>Star Rating (ri​)</t>
  </si>
  <si>
    <t>Legitimacy Prob (P)</t>
  </si>
  <si>
    <t>Recency Weight (w)</t>
  </si>
  <si>
    <t>Denominator (w⋅P)</t>
  </si>
  <si>
    <t>Review 1</t>
  </si>
  <si>
    <t>Review 2</t>
  </si>
  <si>
    <t>Review 3</t>
  </si>
  <si>
    <t>Review 4</t>
  </si>
  <si>
    <t>TOTAL</t>
  </si>
  <si>
    <t>Penalize business for potentailly having two fake reviews</t>
  </si>
  <si>
    <t>alpha</t>
  </si>
  <si>
    <t>Palpha</t>
  </si>
  <si>
    <t>Numerator</t>
  </si>
  <si>
    <r>
      <t>When $\alpha &gt; 1$:</t>
    </r>
    <r>
      <rPr>
        <sz val="11"/>
        <color theme="1"/>
        <rFont val="Arial"/>
        <family val="2"/>
      </rPr>
      <t xml:space="preserve"> We become </t>
    </r>
    <r>
      <rPr>
        <b/>
        <sz val="11"/>
        <color theme="1"/>
        <rFont val="Arial"/>
        <family val="2"/>
      </rPr>
      <t>exponentially harsher</t>
    </r>
    <r>
      <rPr>
        <sz val="11"/>
        <color theme="1"/>
        <rFont val="Arial"/>
        <family val="2"/>
      </rPr>
      <t>. Reviews with even a slight suspicion ($P = 0.7$) lose significant weight.</t>
    </r>
  </si>
  <si>
    <r>
      <t>When $\alpha = 0$:</t>
    </r>
    <r>
      <rPr>
        <sz val="11"/>
        <color theme="1"/>
        <rFont val="Arial"/>
        <family val="2"/>
      </rPr>
      <t xml:space="preserve"> All reviews are treated equally (standard average). The model is ignored.</t>
    </r>
    <r>
      <rPr>
        <b/>
        <sz val="11"/>
        <color theme="1"/>
        <rFont val="Arial"/>
        <family val="2"/>
      </rPr>
      <t xml:space="preserve"> But considers weight as well</t>
    </r>
  </si>
  <si>
    <r>
      <t>When $\alpha = 1$:</t>
    </r>
    <r>
      <rPr>
        <sz val="11"/>
        <color theme="1"/>
        <rFont val="Arial"/>
        <family val="2"/>
      </rPr>
      <t xml:space="preserve"> We use the linear probability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</si>
</sst>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1" xfId="0" applyFont="1" applyBorder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10</xdr:row>
      <xdr:rowOff>152400</xdr:rowOff>
    </xdr:from>
    <xdr:to>
      <xdr:col>5</xdr:col>
      <xdr:colOff>343095</xdr:colOff>
      <xdr:row>15</xdr:row>
      <xdr:rowOff>15307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0432B5-8021-16DC-3110-6D295CDEC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2065020"/>
          <a:ext cx="2248095" cy="77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264F-718D-4419-9AEC-6F92E4900F73}">
  <dimension ref="B2:K16"/>
  <sheetViews>
    <sheetView tabSelected="1" workbookViewId="0">
      <selection activeCell="H3" sqref="H3"/>
    </sheetView>
  </sheetViews>
  <sheetFormatPr defaultRowHeight="14.4" x14ac:dyDescent="0.3"/>
  <cols>
    <col min="1" max="1" width="5.5546875" customWidth="1"/>
    <col min="5" max="5" width="16.6640625" bestFit="1" customWidth="1"/>
  </cols>
  <sheetData>
    <row r="2" spans="2:11" ht="21" x14ac:dyDescent="0.4">
      <c r="B2" s="3" t="s">
        <v>0</v>
      </c>
      <c r="F2" t="s">
        <v>12</v>
      </c>
      <c r="H2">
        <v>0.1</v>
      </c>
    </row>
    <row r="4" spans="2:11" x14ac:dyDescent="0.3">
      <c r="B4" s="4" t="s">
        <v>1</v>
      </c>
      <c r="C4" s="4" t="s">
        <v>2</v>
      </c>
      <c r="D4" s="4" t="s">
        <v>3</v>
      </c>
      <c r="E4" s="4" t="s">
        <v>4</v>
      </c>
      <c r="F4" s="4" t="s">
        <v>13</v>
      </c>
      <c r="G4" s="4" t="s">
        <v>14</v>
      </c>
      <c r="H4" s="4" t="s">
        <v>5</v>
      </c>
      <c r="I4" s="4"/>
    </row>
    <row r="5" spans="2:11" x14ac:dyDescent="0.3">
      <c r="B5" s="4" t="s">
        <v>6</v>
      </c>
      <c r="C5" s="4">
        <v>5</v>
      </c>
      <c r="D5" s="4">
        <v>0.95</v>
      </c>
      <c r="E5" s="4">
        <v>1</v>
      </c>
      <c r="F5" s="4">
        <f>D5^$H$2</f>
        <v>0.99488380310817626</v>
      </c>
      <c r="G5" s="4">
        <f>+F5*E5*C5</f>
        <v>4.9744190155408816</v>
      </c>
      <c r="H5" s="4">
        <f>+F5*E5</f>
        <v>0.99488380310817626</v>
      </c>
      <c r="I5" s="4"/>
    </row>
    <row r="6" spans="2:11" x14ac:dyDescent="0.3">
      <c r="B6" s="4" t="s">
        <v>7</v>
      </c>
      <c r="C6" s="4">
        <v>5</v>
      </c>
      <c r="D6" s="4">
        <v>0.2</v>
      </c>
      <c r="E6" s="4">
        <v>0.9</v>
      </c>
      <c r="F6" s="4">
        <f t="shared" ref="F6:F8" si="0">D6^$H$2</f>
        <v>0.85133992252078461</v>
      </c>
      <c r="G6" s="4">
        <f t="shared" ref="G6:G9" si="1">+F6*E6*C6</f>
        <v>3.8310296513435311</v>
      </c>
      <c r="H6" s="4">
        <f t="shared" ref="H6:H8" si="2">+F6*E6</f>
        <v>0.7662059302687062</v>
      </c>
      <c r="I6" s="4"/>
    </row>
    <row r="7" spans="2:11" x14ac:dyDescent="0.3">
      <c r="B7" s="4" t="s">
        <v>8</v>
      </c>
      <c r="C7" s="4">
        <v>1</v>
      </c>
      <c r="D7" s="4">
        <v>0.9</v>
      </c>
      <c r="E7" s="4">
        <v>1</v>
      </c>
      <c r="F7" s="4">
        <f t="shared" si="0"/>
        <v>0.98951925820621445</v>
      </c>
      <c r="G7" s="4">
        <f t="shared" si="1"/>
        <v>0.98951925820621445</v>
      </c>
      <c r="H7" s="4">
        <f t="shared" si="2"/>
        <v>0.98951925820621445</v>
      </c>
      <c r="I7" s="4"/>
    </row>
    <row r="8" spans="2:11" x14ac:dyDescent="0.3">
      <c r="B8" s="4" t="s">
        <v>9</v>
      </c>
      <c r="C8" s="4">
        <v>5</v>
      </c>
      <c r="D8" s="4">
        <v>0.1</v>
      </c>
      <c r="E8" s="4">
        <v>0.8</v>
      </c>
      <c r="F8" s="4">
        <f t="shared" si="0"/>
        <v>0.79432823472428149</v>
      </c>
      <c r="G8" s="4">
        <f t="shared" si="1"/>
        <v>3.177312938897126</v>
      </c>
      <c r="H8" s="4">
        <f t="shared" si="2"/>
        <v>0.63546258777942521</v>
      </c>
      <c r="I8" s="4"/>
    </row>
    <row r="9" spans="2:11" x14ac:dyDescent="0.3">
      <c r="B9" s="4" t="s">
        <v>10</v>
      </c>
      <c r="C9" s="4"/>
      <c r="D9" s="4"/>
      <c r="E9" s="4"/>
      <c r="F9" s="4">
        <f>+SUM(F5:F8)</f>
        <v>3.6300712185594568</v>
      </c>
      <c r="G9" s="4">
        <f>+SUM(G5:G8)</f>
        <v>12.972280863987754</v>
      </c>
      <c r="H9" s="4">
        <f>+SUM(H5:H8)</f>
        <v>3.3860715793625222</v>
      </c>
      <c r="I9" s="5">
        <f>+G9/H9</f>
        <v>3.8310710686245968</v>
      </c>
      <c r="J9">
        <f>+AVERAGE(C5:C8)</f>
        <v>4</v>
      </c>
    </row>
    <row r="10" spans="2:11" x14ac:dyDescent="0.3">
      <c r="J10" s="1">
        <f>+I9/J9-1</f>
        <v>-4.2232232843850803E-2</v>
      </c>
      <c r="K10" s="2" t="s">
        <v>11</v>
      </c>
    </row>
    <row r="12" spans="2:11" x14ac:dyDescent="0.3">
      <c r="H12" s="6" t="s">
        <v>16</v>
      </c>
    </row>
    <row r="13" spans="2:11" x14ac:dyDescent="0.3">
      <c r="H13" s="7"/>
    </row>
    <row r="14" spans="2:11" x14ac:dyDescent="0.3">
      <c r="H14" s="6" t="s">
        <v>17</v>
      </c>
    </row>
    <row r="15" spans="2:11" x14ac:dyDescent="0.3">
      <c r="H15" s="7"/>
    </row>
    <row r="16" spans="2:11" x14ac:dyDescent="0.3">
      <c r="H16" s="6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Alier Valentim Nogueira (M20170970)</dc:creator>
  <cp:lastModifiedBy>Francisco Alier Valentim Nogueira (M20170970)</cp:lastModifiedBy>
  <dcterms:created xsi:type="dcterms:W3CDTF">2026-04-19T15:47:25Z</dcterms:created>
  <dcterms:modified xsi:type="dcterms:W3CDTF">2026-04-19T16:04:04Z</dcterms:modified>
</cp:coreProperties>
</file>